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bel/Desktop/currentExperiments/realDataAnalysis/localSyntheticDataGeneration/highlightedResults/"/>
    </mc:Choice>
  </mc:AlternateContent>
  <xr:revisionPtr revIDLastSave="0" documentId="13_ncr:1_{11DC119E-6B4C-A247-9EDE-574391E3937D}" xr6:coauthVersionLast="47" xr6:coauthVersionMax="47" xr10:uidLastSave="{00000000-0000-0000-0000-000000000000}"/>
  <bookViews>
    <workbookView xWindow="1800" yWindow="600" windowWidth="26620" windowHeight="16660" activeTab="2" xr2:uid="{2D4237BE-60D2-074B-BBF4-DB45A4B06ED6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Sheet1!$A$1:$M$41</definedName>
    <definedName name="_xlnm._FilterDatabase" localSheetId="1" hidden="1">Sheet2!$A$1:$M$23</definedName>
    <definedName name="_xlnm._FilterDatabase" localSheetId="2" hidden="1">Sheet3!$A$1:$M$3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2" l="1"/>
  <c r="E12" i="2"/>
  <c r="F12" i="2"/>
  <c r="G12" i="2"/>
  <c r="H12" i="2"/>
  <c r="I12" i="2"/>
  <c r="J12" i="2"/>
  <c r="K12" i="2"/>
  <c r="L12" i="2"/>
  <c r="M12" i="2"/>
  <c r="C12" i="2"/>
  <c r="C23" i="2"/>
  <c r="D23" i="2"/>
  <c r="E23" i="2"/>
  <c r="F23" i="2"/>
  <c r="G23" i="2"/>
  <c r="H23" i="2"/>
  <c r="I23" i="2"/>
  <c r="J23" i="2"/>
  <c r="K23" i="2"/>
  <c r="L23" i="2"/>
  <c r="M22" i="2"/>
  <c r="M21" i="2"/>
  <c r="M20" i="2"/>
  <c r="M19" i="2"/>
  <c r="M18" i="2"/>
  <c r="M17" i="2"/>
  <c r="M16" i="2"/>
  <c r="M15" i="2"/>
  <c r="M14" i="2"/>
  <c r="M13" i="2"/>
  <c r="M11" i="2"/>
  <c r="M10" i="2"/>
  <c r="M9" i="2"/>
  <c r="M8" i="2"/>
  <c r="M7" i="2"/>
  <c r="M6" i="2"/>
  <c r="M5" i="2"/>
  <c r="M4" i="2"/>
  <c r="M3" i="2"/>
  <c r="M2" i="2"/>
  <c r="M15" i="1"/>
  <c r="M7" i="1"/>
  <c r="M18" i="1"/>
  <c r="M14" i="1"/>
  <c r="M12" i="1"/>
  <c r="M13" i="1"/>
  <c r="M19" i="1"/>
  <c r="M21" i="1"/>
  <c r="M17" i="1"/>
  <c r="M16" i="1"/>
  <c r="M20" i="1"/>
  <c r="M9" i="1"/>
  <c r="M3" i="1"/>
  <c r="M6" i="1"/>
  <c r="M5" i="1"/>
  <c r="M8" i="1"/>
  <c r="M11" i="1"/>
  <c r="M2" i="1"/>
  <c r="M4" i="1"/>
  <c r="M10" i="1"/>
  <c r="M23" i="2" l="1"/>
</calcChain>
</file>

<file path=xl/sharedStrings.xml><?xml version="1.0" encoding="utf-8"?>
<sst xmlns="http://schemas.openxmlformats.org/spreadsheetml/2006/main" count="167" uniqueCount="28">
  <si>
    <t>dataset</t>
  </si>
  <si>
    <t>model</t>
  </si>
  <si>
    <t>CHI</t>
  </si>
  <si>
    <t>ZIPF</t>
  </si>
  <si>
    <t>CLASSIFIER</t>
  </si>
  <si>
    <t>IRPR</t>
  </si>
  <si>
    <t>FID</t>
  </si>
  <si>
    <t>PR</t>
  </si>
  <si>
    <t>DC</t>
  </si>
  <si>
    <t>MAUVE</t>
  </si>
  <si>
    <t>TRADITIONAL</t>
  </si>
  <si>
    <t>ZERO</t>
  </si>
  <si>
    <t>yahoo</t>
  </si>
  <si>
    <t>LDA</t>
  </si>
  <si>
    <t>MATAVE</t>
  </si>
  <si>
    <t>realToReal</t>
  </si>
  <si>
    <t>realToReal2</t>
  </si>
  <si>
    <t>banking77</t>
  </si>
  <si>
    <t>medicalAbstracts</t>
  </si>
  <si>
    <t>dementiaAudio</t>
  </si>
  <si>
    <t>huffPostNews</t>
  </si>
  <si>
    <t>clinc150</t>
  </si>
  <si>
    <t>syntheticCareHomeNurseNotes</t>
  </si>
  <si>
    <t>clinicalDialogueSummarizations</t>
  </si>
  <si>
    <t>simSUM</t>
  </si>
  <si>
    <t>atis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</si>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</sst>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1" fontId="0" fillId="0" borderId="0" xfId="0" applyNumberFormat="1"/>
    <xf numFmtId="11" fontId="1" fillId="0" borderId="1" xfId="0" applyNumberFormat="1" applyFont="1" applyBorder="1" applyAlignment="1">
      <alignment vertical="center" wrapText="1"/>
    </xf>
    <xf numFmtId="11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11" fontId="0" fillId="2" borderId="0" xfId="0" applyNumberFormat="1" applyFill="1"/>
    <xf numFmtId="11" fontId="1" fillId="0" borderId="1" xfId="0" applyNumberFormat="1" applyFont="1" applyFill="1" applyBorder="1" applyAlignment="1">
      <alignment vertical="center" wrapText="1"/>
    </xf>
    <xf numFmtId="11" fontId="1" fillId="2" borderId="0" xfId="0" applyNumberFormat="1" applyFont="1" applyFill="1"/>
    <xf numFmtId="11" fontId="1" fillId="0" borderId="0" xfId="0" applyNumberFormat="1" applyFont="1"/>
    <xf numFmtId="11" fontId="1" fillId="0" borderId="0" xfId="0" applyNumberFormat="1" applyFont="1" applyBorder="1"/>
    <xf numFmtId="11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15B6-2A26-C648-A411-2CE01A3CDF0D}">
  <sheetPr filterMode="1"/>
  <dimension ref="A1:M41"/>
  <sheetViews>
    <sheetView workbookViewId="0">
      <selection activeCell="C21" sqref="A1:M4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26</v>
      </c>
    </row>
    <row r="2" spans="1:13" ht="30" x14ac:dyDescent="0.2">
      <c r="A2" s="2" t="s">
        <v>18</v>
      </c>
      <c r="B2" s="2" t="s">
        <v>13</v>
      </c>
      <c r="C2" s="5">
        <v>0</v>
      </c>
      <c r="D2" s="2">
        <v>1.4930000000000001E-2</v>
      </c>
      <c r="E2" s="6">
        <v>0.76326300000000002</v>
      </c>
      <c r="F2" s="6">
        <v>0.35477300000000001</v>
      </c>
      <c r="G2" s="6">
        <v>0.70820700000000003</v>
      </c>
      <c r="H2" s="6">
        <v>0.15978800000000001</v>
      </c>
      <c r="I2" s="6">
        <v>3.4525E-2</v>
      </c>
      <c r="J2" s="6">
        <v>0.28576299999999999</v>
      </c>
      <c r="K2" s="6">
        <v>0.50119800000000003</v>
      </c>
      <c r="L2" s="2">
        <v>0.53237100000000004</v>
      </c>
      <c r="M2" s="8">
        <f>AVERAGE(C2:L2)</f>
        <v>0.3354818</v>
      </c>
    </row>
    <row r="3" spans="1:13" ht="45" x14ac:dyDescent="0.2">
      <c r="A3" s="2" t="s">
        <v>23</v>
      </c>
      <c r="B3" s="2" t="s">
        <v>13</v>
      </c>
      <c r="C3" s="5">
        <v>1.804066E-2</v>
      </c>
      <c r="D3" s="6">
        <v>6.7664000000000002E-2</v>
      </c>
      <c r="E3" s="6">
        <v>0.83586000000000005</v>
      </c>
      <c r="F3" s="6">
        <v>0.32412600000000003</v>
      </c>
      <c r="G3" s="6">
        <v>0.70017200000000002</v>
      </c>
      <c r="H3" s="2">
        <v>0.34668700000000002</v>
      </c>
      <c r="I3" s="6">
        <v>0.15204400000000001</v>
      </c>
      <c r="J3" s="2">
        <v>0.67057800000000001</v>
      </c>
      <c r="K3" s="6">
        <v>0.31777699999999998</v>
      </c>
      <c r="L3" s="6">
        <v>0.28947600000000001</v>
      </c>
      <c r="M3" s="8">
        <f>AVERAGE(C3:L3)</f>
        <v>0.37224246599999999</v>
      </c>
    </row>
    <row r="4" spans="1:13" x14ac:dyDescent="0.2">
      <c r="A4" s="2" t="s">
        <v>17</v>
      </c>
      <c r="B4" s="2" t="s">
        <v>13</v>
      </c>
      <c r="C4" s="5">
        <v>2.7762979999999998E-13</v>
      </c>
      <c r="D4" s="6">
        <v>0.13139999999999999</v>
      </c>
      <c r="E4" s="6">
        <v>0.90730900000000003</v>
      </c>
      <c r="F4" s="6">
        <v>0.31081399999999998</v>
      </c>
      <c r="G4" s="6">
        <v>0.61516999999999999</v>
      </c>
      <c r="H4" s="6">
        <v>0.38280500000000001</v>
      </c>
      <c r="I4" s="6">
        <v>0.30885200000000002</v>
      </c>
      <c r="J4" s="6">
        <v>0.70392500000000002</v>
      </c>
      <c r="K4" s="6">
        <v>0.36555500000000002</v>
      </c>
      <c r="L4" s="6">
        <v>0.14763499999999999</v>
      </c>
      <c r="M4" s="8">
        <f>AVERAGE(C4:L4)</f>
        <v>0.38734650000002774</v>
      </c>
    </row>
    <row r="5" spans="1:13" x14ac:dyDescent="0.2">
      <c r="A5" s="2" t="s">
        <v>21</v>
      </c>
      <c r="B5" s="2" t="s">
        <v>13</v>
      </c>
      <c r="C5" s="4">
        <v>0.33334200000000003</v>
      </c>
      <c r="D5" s="6">
        <v>4.0009999999999997E-2</v>
      </c>
      <c r="E5" s="2">
        <v>0.90982300000000005</v>
      </c>
      <c r="F5" s="2">
        <v>0.37083700000000003</v>
      </c>
      <c r="G5" s="6">
        <v>0.90359699999999998</v>
      </c>
      <c r="H5" s="6">
        <v>0.37010900000000002</v>
      </c>
      <c r="I5" s="2">
        <v>0.26771800000000001</v>
      </c>
      <c r="J5" s="6">
        <v>0.85602500000000004</v>
      </c>
      <c r="K5" s="2">
        <v>0.29791000000000001</v>
      </c>
      <c r="L5" s="2">
        <v>0.230938</v>
      </c>
      <c r="M5" s="3">
        <f>AVERAGE(C5:L5)</f>
        <v>0.45803090000000007</v>
      </c>
    </row>
    <row r="6" spans="1:13" ht="45" x14ac:dyDescent="0.2">
      <c r="A6" s="2" t="s">
        <v>22</v>
      </c>
      <c r="B6" s="2" t="s">
        <v>13</v>
      </c>
      <c r="C6" s="5">
        <v>1.7763570000000001E-15</v>
      </c>
      <c r="D6" s="6">
        <v>1.4840000000000001E-2</v>
      </c>
      <c r="E6" s="2">
        <v>0.97519299999999998</v>
      </c>
      <c r="F6" s="2">
        <v>0.31325900000000001</v>
      </c>
      <c r="G6" s="2">
        <v>0.675701</v>
      </c>
      <c r="H6" s="2">
        <v>0.68781300000000001</v>
      </c>
      <c r="I6" s="6">
        <v>0.22237199999999999</v>
      </c>
      <c r="J6" s="2">
        <v>0.77493999999999996</v>
      </c>
      <c r="K6" s="2">
        <v>0.68196299999999999</v>
      </c>
      <c r="L6" s="2">
        <v>0.24107899999999999</v>
      </c>
      <c r="M6" s="3">
        <f>AVERAGE(C6:L6)</f>
        <v>0.45871600000000018</v>
      </c>
    </row>
    <row r="7" spans="1:13" x14ac:dyDescent="0.2">
      <c r="A7" s="2" t="s">
        <v>25</v>
      </c>
      <c r="B7" s="2" t="s">
        <v>13</v>
      </c>
      <c r="C7" s="5">
        <v>0</v>
      </c>
      <c r="D7" s="6">
        <v>0.16009999999999999</v>
      </c>
      <c r="E7" s="2">
        <v>0.96665599999999996</v>
      </c>
      <c r="F7" s="6">
        <v>0.27354899999999999</v>
      </c>
      <c r="G7" s="6">
        <v>0.49926599999999999</v>
      </c>
      <c r="H7" s="6">
        <v>0.44598300000000002</v>
      </c>
      <c r="I7" s="6">
        <v>0.64965600000000001</v>
      </c>
      <c r="J7" s="2">
        <v>0.93002399999999996</v>
      </c>
      <c r="K7" s="2">
        <v>0.391046</v>
      </c>
      <c r="L7" s="2">
        <v>0.28150700000000001</v>
      </c>
      <c r="M7" s="8">
        <f>AVERAGE(C7:L7)</f>
        <v>0.45977870000000004</v>
      </c>
    </row>
    <row r="8" spans="1:13" x14ac:dyDescent="0.2">
      <c r="A8" s="2" t="s">
        <v>20</v>
      </c>
      <c r="B8" s="2" t="s">
        <v>13</v>
      </c>
      <c r="C8" s="4">
        <v>1</v>
      </c>
      <c r="D8" s="2">
        <v>9.4842999999999997E-2</v>
      </c>
      <c r="E8" s="2">
        <v>0.90763099999999997</v>
      </c>
      <c r="F8" s="2">
        <v>0.39816499999999999</v>
      </c>
      <c r="G8" s="2">
        <v>0.93217899999999998</v>
      </c>
      <c r="H8" s="6">
        <v>0.25603399999999998</v>
      </c>
      <c r="I8" s="2">
        <v>0.11373800000000001</v>
      </c>
      <c r="J8" s="6">
        <v>0.66830900000000004</v>
      </c>
      <c r="K8" s="6">
        <v>0.40834100000000001</v>
      </c>
      <c r="L8" s="6">
        <v>0.261322</v>
      </c>
      <c r="M8" s="8">
        <f>AVERAGE(C8:L8)</f>
        <v>0.50405620000000007</v>
      </c>
    </row>
    <row r="9" spans="1:13" x14ac:dyDescent="0.2">
      <c r="A9" s="2" t="s">
        <v>24</v>
      </c>
      <c r="B9" s="2" t="s">
        <v>13</v>
      </c>
      <c r="C9" s="5">
        <v>0</v>
      </c>
      <c r="D9" s="6">
        <v>6.5586000000000005E-2</v>
      </c>
      <c r="E9" s="2">
        <v>0.97558</v>
      </c>
      <c r="F9" s="6">
        <v>0.23841000000000001</v>
      </c>
      <c r="G9" s="6">
        <v>0.45306999999999997</v>
      </c>
      <c r="H9" s="6">
        <v>0.70383399999999996</v>
      </c>
      <c r="I9" s="2">
        <v>0.91449000000000003</v>
      </c>
      <c r="J9" s="6">
        <v>0.85060899999999995</v>
      </c>
      <c r="K9" s="6">
        <v>0.487842</v>
      </c>
      <c r="L9" s="2">
        <v>0.36571700000000001</v>
      </c>
      <c r="M9" s="8">
        <f>AVERAGE(C9:L9)</f>
        <v>0.50551380000000001</v>
      </c>
    </row>
    <row r="10" spans="1:13" x14ac:dyDescent="0.2">
      <c r="A10" s="2" t="s">
        <v>12</v>
      </c>
      <c r="B10" s="2" t="s">
        <v>13</v>
      </c>
      <c r="C10" s="5">
        <v>0.94363030000000003</v>
      </c>
      <c r="D10" s="6">
        <v>0.122554</v>
      </c>
      <c r="E10" s="6">
        <v>0.88119700000000001</v>
      </c>
      <c r="F10" s="6">
        <v>0.41298600000000002</v>
      </c>
      <c r="G10" s="6">
        <v>1.012399</v>
      </c>
      <c r="H10" s="6">
        <v>0.34991499999999998</v>
      </c>
      <c r="I10" s="2">
        <v>0.10356799999999999</v>
      </c>
      <c r="J10" s="6">
        <v>0.71342499999999998</v>
      </c>
      <c r="K10" s="6">
        <v>0.374836</v>
      </c>
      <c r="L10" s="6">
        <v>0.27090999999999998</v>
      </c>
      <c r="M10" s="8">
        <f>AVERAGE(C10:L10)</f>
        <v>0.5185420300000001</v>
      </c>
    </row>
    <row r="11" spans="1:13" ht="30" x14ac:dyDescent="0.2">
      <c r="A11" s="2" t="s">
        <v>19</v>
      </c>
      <c r="B11" s="2" t="s">
        <v>13</v>
      </c>
      <c r="C11" s="5">
        <v>0</v>
      </c>
      <c r="D11" s="6">
        <v>0.27512300000000001</v>
      </c>
      <c r="E11" s="6">
        <v>0.99187000000000003</v>
      </c>
      <c r="F11" s="6">
        <v>0.268766</v>
      </c>
      <c r="G11" s="6">
        <v>0.52887200000000001</v>
      </c>
      <c r="H11" s="2">
        <v>0.97162800000000005</v>
      </c>
      <c r="I11" s="6">
        <v>0.94540000000000002</v>
      </c>
      <c r="J11" s="2">
        <v>0.99471600000000004</v>
      </c>
      <c r="K11" s="2">
        <v>0.83170699999999997</v>
      </c>
      <c r="L11" s="2">
        <v>0.29117199999999999</v>
      </c>
      <c r="M11" s="8">
        <f>AVERAGE(C11:L11)</f>
        <v>0.60992540000000006</v>
      </c>
    </row>
    <row r="12" spans="1:13" ht="45" x14ac:dyDescent="0.2">
      <c r="A12" s="2" t="s">
        <v>22</v>
      </c>
      <c r="B12" s="2" t="s">
        <v>14</v>
      </c>
      <c r="C12" s="4">
        <v>0.58278989999999997</v>
      </c>
      <c r="D12" s="2">
        <v>0.12045699999999999</v>
      </c>
      <c r="E12" s="6">
        <v>0.80817000000000005</v>
      </c>
      <c r="F12" s="6">
        <v>0.30806499999999998</v>
      </c>
      <c r="G12" s="6">
        <v>0.54489699999999996</v>
      </c>
      <c r="H12" s="6">
        <v>0.19792699999999999</v>
      </c>
      <c r="I12" s="2">
        <v>0.22417699999999999</v>
      </c>
      <c r="J12" s="6">
        <v>0.31433100000000003</v>
      </c>
      <c r="K12" s="6">
        <v>0.47570600000000002</v>
      </c>
      <c r="L12" s="6">
        <v>0.100687</v>
      </c>
      <c r="M12" s="8">
        <f>AVERAGE(C12:L12)</f>
        <v>0.36772069000000007</v>
      </c>
    </row>
    <row r="13" spans="1:13" x14ac:dyDescent="0.2">
      <c r="A13" s="2" t="s">
        <v>21</v>
      </c>
      <c r="B13" s="2" t="s">
        <v>14</v>
      </c>
      <c r="C13" s="5">
        <v>7.81829E-2</v>
      </c>
      <c r="D13" s="2">
        <v>9.2055999999999999E-2</v>
      </c>
      <c r="E13" s="6">
        <v>0.86860800000000005</v>
      </c>
      <c r="F13" s="6">
        <v>0.36579899999999999</v>
      </c>
      <c r="G13" s="2">
        <v>0.91898800000000003</v>
      </c>
      <c r="H13" s="2">
        <v>0.48596299999999998</v>
      </c>
      <c r="I13" s="6">
        <v>0.192195</v>
      </c>
      <c r="J13" s="2">
        <v>0.88565400000000005</v>
      </c>
      <c r="K13" s="6">
        <v>0.28782999999999997</v>
      </c>
      <c r="L13" s="6">
        <v>0.20010800000000001</v>
      </c>
      <c r="M13" s="8">
        <f>AVERAGE(C13:L13)</f>
        <v>0.43753839</v>
      </c>
    </row>
    <row r="14" spans="1:13" ht="45" x14ac:dyDescent="0.2">
      <c r="A14" s="2" t="s">
        <v>23</v>
      </c>
      <c r="B14" s="2" t="s">
        <v>14</v>
      </c>
      <c r="C14" s="4">
        <v>8.7686620000000007E-2</v>
      </c>
      <c r="D14" s="2">
        <v>0.17416499999999999</v>
      </c>
      <c r="E14" s="2">
        <v>0.909196</v>
      </c>
      <c r="F14" s="2">
        <v>0.34310299999999999</v>
      </c>
      <c r="G14" s="2">
        <v>0.75478999999999996</v>
      </c>
      <c r="H14" s="6">
        <v>0.32295299999999999</v>
      </c>
      <c r="I14" s="2">
        <v>0.49111399999999999</v>
      </c>
      <c r="J14" s="6">
        <v>0.66050799999999998</v>
      </c>
      <c r="K14" s="2">
        <v>0.37312400000000001</v>
      </c>
      <c r="L14" s="2">
        <v>0.37912000000000001</v>
      </c>
      <c r="M14" s="3">
        <f>AVERAGE(C14:L14)</f>
        <v>0.44957596200000005</v>
      </c>
    </row>
    <row r="15" spans="1:13" x14ac:dyDescent="0.2">
      <c r="A15" s="2" t="s">
        <v>25</v>
      </c>
      <c r="B15" s="2" t="s">
        <v>14</v>
      </c>
      <c r="C15" s="5">
        <v>0</v>
      </c>
      <c r="D15" s="2">
        <v>0.21437800000000001</v>
      </c>
      <c r="E15" s="6">
        <v>0.88006399999999996</v>
      </c>
      <c r="F15" s="2">
        <v>0.29124299999999997</v>
      </c>
      <c r="G15" s="2">
        <v>0.55612099999999998</v>
      </c>
      <c r="H15" s="2">
        <v>0.45117000000000002</v>
      </c>
      <c r="I15" s="2">
        <v>0.812388</v>
      </c>
      <c r="J15" s="6">
        <v>0.82022600000000001</v>
      </c>
      <c r="K15" s="6">
        <v>0.36740600000000001</v>
      </c>
      <c r="L15" s="6">
        <v>0.206154</v>
      </c>
      <c r="M15" s="8">
        <f>AVERAGE(C15:L15)</f>
        <v>0.45991499999999991</v>
      </c>
    </row>
    <row r="16" spans="1:13" x14ac:dyDescent="0.2">
      <c r="A16" s="2" t="s">
        <v>17</v>
      </c>
      <c r="B16" s="2" t="s">
        <v>14</v>
      </c>
      <c r="C16" s="4">
        <v>6.0556339999999998E-3</v>
      </c>
      <c r="D16" s="2">
        <v>0.176033</v>
      </c>
      <c r="E16" s="2">
        <v>0.97520300000000004</v>
      </c>
      <c r="F16" s="2">
        <v>0.33708199999999999</v>
      </c>
      <c r="G16" s="2">
        <v>0.71631299999999998</v>
      </c>
      <c r="H16" s="2">
        <v>0.46905400000000003</v>
      </c>
      <c r="I16" s="2">
        <v>0.63787000000000005</v>
      </c>
      <c r="J16" s="2">
        <v>0.882104</v>
      </c>
      <c r="K16" s="2">
        <v>0.44569700000000001</v>
      </c>
      <c r="L16" s="2">
        <v>0.220855</v>
      </c>
      <c r="M16" s="3">
        <f>AVERAGE(C16:L16)</f>
        <v>0.48662666339999994</v>
      </c>
    </row>
    <row r="17" spans="1:13" ht="30" x14ac:dyDescent="0.2">
      <c r="A17" s="2" t="s">
        <v>18</v>
      </c>
      <c r="B17" s="2" t="s">
        <v>14</v>
      </c>
      <c r="C17" s="5">
        <v>0</v>
      </c>
      <c r="D17" s="6">
        <v>4.1009999999999996E-3</v>
      </c>
      <c r="E17" s="2">
        <v>0.93157900000000005</v>
      </c>
      <c r="F17" s="2">
        <v>0.36091299999999998</v>
      </c>
      <c r="G17" s="2">
        <v>0.97290500000000002</v>
      </c>
      <c r="H17" s="2">
        <v>0.50116099999999997</v>
      </c>
      <c r="I17" s="2">
        <v>0.19786200000000001</v>
      </c>
      <c r="J17" s="2">
        <v>0.95545000000000002</v>
      </c>
      <c r="K17" s="2">
        <v>0.53305199999999997</v>
      </c>
      <c r="L17" s="6">
        <v>0.49435899999999999</v>
      </c>
      <c r="M17" s="3">
        <f>AVERAGE(C17:L17)</f>
        <v>0.49513820000000008</v>
      </c>
    </row>
    <row r="18" spans="1:13" x14ac:dyDescent="0.2">
      <c r="A18" s="2" t="s">
        <v>24</v>
      </c>
      <c r="B18" s="2" t="s">
        <v>14</v>
      </c>
      <c r="C18" s="5">
        <v>0</v>
      </c>
      <c r="D18" s="2">
        <v>0.15325</v>
      </c>
      <c r="E18" s="6">
        <v>0.96536200000000005</v>
      </c>
      <c r="F18" s="2">
        <v>0.24177699999999999</v>
      </c>
      <c r="G18" s="2">
        <v>0.51667399999999997</v>
      </c>
      <c r="H18" s="2">
        <v>0.70839099999999999</v>
      </c>
      <c r="I18" s="6">
        <v>0.89940699999999996</v>
      </c>
      <c r="J18" s="2">
        <v>0.87912199999999996</v>
      </c>
      <c r="K18" s="2">
        <v>0.50689099999999998</v>
      </c>
      <c r="L18" s="6">
        <v>0.35569099999999998</v>
      </c>
      <c r="M18" s="3">
        <f>AVERAGE(C18:L18)</f>
        <v>0.52265650000000008</v>
      </c>
    </row>
    <row r="19" spans="1:13" x14ac:dyDescent="0.2">
      <c r="A19" s="2" t="s">
        <v>20</v>
      </c>
      <c r="B19" s="2" t="s">
        <v>14</v>
      </c>
      <c r="C19" s="5">
        <v>0.99994130000000003</v>
      </c>
      <c r="D19" s="6">
        <v>7.2750999999999996E-2</v>
      </c>
      <c r="E19" s="6">
        <v>0.89607700000000001</v>
      </c>
      <c r="F19" s="6">
        <v>0.39197300000000002</v>
      </c>
      <c r="G19" s="6">
        <v>0.91462900000000003</v>
      </c>
      <c r="H19" s="2">
        <v>0.68587100000000001</v>
      </c>
      <c r="I19" s="6">
        <v>6.9517999999999996E-2</v>
      </c>
      <c r="J19" s="2">
        <v>0.71515399999999996</v>
      </c>
      <c r="K19" s="2">
        <v>0.59636699999999998</v>
      </c>
      <c r="L19" s="2">
        <v>0.33314300000000002</v>
      </c>
      <c r="M19" s="3">
        <f>AVERAGE(C19:L19)</f>
        <v>0.56754243000000004</v>
      </c>
    </row>
    <row r="20" spans="1:13" x14ac:dyDescent="0.2">
      <c r="A20" s="2" t="s">
        <v>12</v>
      </c>
      <c r="B20" s="2" t="s">
        <v>14</v>
      </c>
      <c r="C20" s="4">
        <v>0.99165910000000002</v>
      </c>
      <c r="D20" s="2">
        <v>0.222275</v>
      </c>
      <c r="E20" s="2">
        <v>0.95630599999999999</v>
      </c>
      <c r="F20" s="2">
        <v>0.416155</v>
      </c>
      <c r="G20" s="2">
        <v>1.0284720000000001</v>
      </c>
      <c r="H20" s="2">
        <v>0.37604199999999999</v>
      </c>
      <c r="I20" s="6">
        <v>9.6034999999999995E-2</v>
      </c>
      <c r="J20" s="2">
        <v>0.772034</v>
      </c>
      <c r="K20" s="2">
        <v>0.56222899999999998</v>
      </c>
      <c r="L20" s="2">
        <v>0.29523500000000003</v>
      </c>
      <c r="M20" s="3">
        <f>AVERAGE(C20:L20)</f>
        <v>0.57164420999999987</v>
      </c>
    </row>
    <row r="21" spans="1:13" ht="30" x14ac:dyDescent="0.2">
      <c r="A21" s="2" t="s">
        <v>19</v>
      </c>
      <c r="B21" s="2" t="s">
        <v>14</v>
      </c>
      <c r="C21" s="5">
        <v>0</v>
      </c>
      <c r="D21" s="2">
        <v>0.40828900000000001</v>
      </c>
      <c r="E21" s="2">
        <v>1</v>
      </c>
      <c r="F21" s="2">
        <v>0.29869400000000002</v>
      </c>
      <c r="G21" s="2">
        <v>0.67866800000000005</v>
      </c>
      <c r="H21" s="6">
        <v>0.91879100000000002</v>
      </c>
      <c r="I21" s="2">
        <v>0.98517699999999997</v>
      </c>
      <c r="J21" s="6">
        <v>0.99186399999999997</v>
      </c>
      <c r="K21" s="6">
        <v>0.74260800000000005</v>
      </c>
      <c r="L21" s="6">
        <v>0.24834899999999999</v>
      </c>
      <c r="M21" s="3">
        <f>AVERAGE(C21:L21)</f>
        <v>0.62724399999999991</v>
      </c>
    </row>
    <row r="22" spans="1:13" hidden="1" x14ac:dyDescent="0.2">
      <c r="A22" s="2" t="s">
        <v>12</v>
      </c>
      <c r="B22" s="2" t="s">
        <v>15</v>
      </c>
      <c r="C22" s="4">
        <v>1</v>
      </c>
      <c r="D22" s="2">
        <v>5.0359999999999997E-3</v>
      </c>
      <c r="E22" s="2">
        <v>0.47252699999999997</v>
      </c>
      <c r="F22" s="2">
        <v>0.40337200000000001</v>
      </c>
      <c r="G22" s="2">
        <v>0.88004800000000005</v>
      </c>
      <c r="H22" s="2">
        <v>1.0016000000000001E-2</v>
      </c>
      <c r="I22" s="2">
        <v>2.9555999999999999E-2</v>
      </c>
      <c r="J22" s="2">
        <v>3.9246000000000003E-2</v>
      </c>
      <c r="K22" s="2">
        <v>0.14831900000000001</v>
      </c>
      <c r="L22" s="2">
        <v>0.100081</v>
      </c>
    </row>
    <row r="23" spans="1:13" hidden="1" x14ac:dyDescent="0.2">
      <c r="A23" s="2" t="s">
        <v>12</v>
      </c>
      <c r="B23" s="2" t="s">
        <v>16</v>
      </c>
      <c r="C23" s="4">
        <v>1</v>
      </c>
      <c r="D23" s="2">
        <v>7.4879999999999999E-3</v>
      </c>
      <c r="E23" s="2">
        <v>0.49725799999999998</v>
      </c>
      <c r="F23" s="2">
        <v>0.402451</v>
      </c>
      <c r="G23" s="2">
        <v>0.86390100000000003</v>
      </c>
      <c r="H23" s="2">
        <v>1.511E-2</v>
      </c>
      <c r="I23" s="2">
        <v>1.3775000000000001E-2</v>
      </c>
      <c r="J23" s="2">
        <v>2.2787000000000002E-2</v>
      </c>
      <c r="K23" s="2">
        <v>0.179956</v>
      </c>
      <c r="L23" s="2">
        <v>0.10199800000000001</v>
      </c>
    </row>
    <row r="24" spans="1:13" hidden="1" x14ac:dyDescent="0.2">
      <c r="A24" s="2" t="s">
        <v>17</v>
      </c>
      <c r="B24" s="2" t="s">
        <v>15</v>
      </c>
      <c r="C24" s="4">
        <v>1</v>
      </c>
      <c r="D24" s="2">
        <v>1.8520999999999999E-2</v>
      </c>
      <c r="E24" s="2">
        <v>0.55698499999999995</v>
      </c>
      <c r="F24" s="2">
        <v>0.25844299999999998</v>
      </c>
      <c r="G24" s="2">
        <v>0.36524600000000002</v>
      </c>
      <c r="H24" s="2">
        <v>3.8515000000000001E-2</v>
      </c>
      <c r="I24" s="2">
        <v>7.7539999999999996E-3</v>
      </c>
      <c r="J24" s="2">
        <v>2.8652E-2</v>
      </c>
      <c r="K24" s="2">
        <v>0.15465899999999999</v>
      </c>
      <c r="L24" s="2">
        <v>8.4252999999999995E-2</v>
      </c>
    </row>
    <row r="25" spans="1:13" hidden="1" x14ac:dyDescent="0.2">
      <c r="A25" s="2" t="s">
        <v>17</v>
      </c>
      <c r="B25" s="2" t="s">
        <v>16</v>
      </c>
      <c r="C25" s="4">
        <v>1</v>
      </c>
      <c r="D25" s="2">
        <v>1.5546000000000001E-2</v>
      </c>
      <c r="E25" s="2">
        <v>0.53435500000000002</v>
      </c>
      <c r="F25" s="2">
        <v>0.25950299999999998</v>
      </c>
      <c r="G25" s="2">
        <v>0.369778</v>
      </c>
      <c r="H25" s="2">
        <v>3.6894000000000003E-2</v>
      </c>
      <c r="I25" s="2">
        <v>1.5349E-2</v>
      </c>
      <c r="J25" s="2">
        <v>2.6769000000000001E-2</v>
      </c>
      <c r="K25" s="2">
        <v>0.17188899999999999</v>
      </c>
      <c r="L25" s="2">
        <v>8.1735000000000002E-2</v>
      </c>
    </row>
    <row r="26" spans="1:13" ht="30" hidden="1" x14ac:dyDescent="0.2">
      <c r="A26" s="2" t="s">
        <v>18</v>
      </c>
      <c r="B26" s="2" t="s">
        <v>15</v>
      </c>
      <c r="C26" s="4">
        <v>1</v>
      </c>
      <c r="D26" s="2">
        <v>6.5669999999999999E-3</v>
      </c>
      <c r="E26" s="2">
        <v>0.37231399999999998</v>
      </c>
      <c r="F26" s="2">
        <v>0.35154099999999999</v>
      </c>
      <c r="G26" s="2">
        <v>0.616568</v>
      </c>
      <c r="H26" s="2">
        <v>3.8377000000000001E-2</v>
      </c>
      <c r="I26" s="2">
        <v>2.281E-2</v>
      </c>
      <c r="J26" s="2">
        <v>1.3975E-2</v>
      </c>
      <c r="K26" s="2">
        <v>0.160999</v>
      </c>
      <c r="L26" s="2">
        <v>0.10577499999999999</v>
      </c>
    </row>
    <row r="27" spans="1:13" ht="30" hidden="1" x14ac:dyDescent="0.2">
      <c r="A27" s="2" t="s">
        <v>18</v>
      </c>
      <c r="B27" s="2" t="s">
        <v>16</v>
      </c>
      <c r="C27" s="4">
        <v>1</v>
      </c>
      <c r="D27" s="2">
        <v>6.6080000000000002E-3</v>
      </c>
      <c r="E27" s="2">
        <v>0.464922</v>
      </c>
      <c r="F27" s="2">
        <v>0.35322900000000002</v>
      </c>
      <c r="G27" s="2">
        <v>0.61702800000000002</v>
      </c>
      <c r="H27" s="2">
        <v>1.8443999999999999E-2</v>
      </c>
      <c r="I27" s="2">
        <v>1.9251000000000001E-2</v>
      </c>
      <c r="J27" s="2">
        <v>0.106695</v>
      </c>
      <c r="K27" s="2">
        <v>0.17116700000000001</v>
      </c>
      <c r="L27" s="2">
        <v>9.5736000000000002E-2</v>
      </c>
    </row>
    <row r="28" spans="1:13" ht="30" hidden="1" x14ac:dyDescent="0.2">
      <c r="A28" s="2" t="s">
        <v>19</v>
      </c>
      <c r="B28" s="2" t="s">
        <v>15</v>
      </c>
      <c r="C28" s="4">
        <v>1</v>
      </c>
      <c r="D28" s="2">
        <v>1.2869E-2</v>
      </c>
      <c r="E28" s="2">
        <v>0.53146899999999997</v>
      </c>
      <c r="F28" s="2">
        <v>0.22520999999999999</v>
      </c>
      <c r="G28" s="2">
        <v>0.24696299999999999</v>
      </c>
      <c r="H28" s="2">
        <v>0.21559</v>
      </c>
      <c r="I28" s="2">
        <v>6.7962999999999996E-2</v>
      </c>
      <c r="J28" s="2">
        <v>4.2560000000000001E-2</v>
      </c>
      <c r="K28" s="2">
        <v>0.18546799999999999</v>
      </c>
      <c r="L28" s="2">
        <v>9.2006000000000004E-2</v>
      </c>
    </row>
    <row r="29" spans="1:13" ht="30" hidden="1" x14ac:dyDescent="0.2">
      <c r="A29" s="2" t="s">
        <v>19</v>
      </c>
      <c r="B29" s="2" t="s">
        <v>16</v>
      </c>
      <c r="C29" s="4">
        <v>1</v>
      </c>
      <c r="D29" s="2">
        <v>1.2404E-2</v>
      </c>
      <c r="E29" s="2">
        <v>0.42806499999999997</v>
      </c>
      <c r="F29" s="2">
        <v>0.222415</v>
      </c>
      <c r="G29" s="2">
        <v>0.241615</v>
      </c>
      <c r="H29" s="2">
        <v>0.21263799999999999</v>
      </c>
      <c r="I29" s="2">
        <v>6.7340000000000004E-3</v>
      </c>
      <c r="J29" s="2">
        <v>1.0808999999999999E-2</v>
      </c>
      <c r="K29" s="2">
        <v>0.18009500000000001</v>
      </c>
      <c r="L29" s="2">
        <v>8.9366000000000001E-2</v>
      </c>
    </row>
    <row r="30" spans="1:13" hidden="1" x14ac:dyDescent="0.2">
      <c r="A30" s="2" t="s">
        <v>20</v>
      </c>
      <c r="B30" s="2" t="s">
        <v>15</v>
      </c>
      <c r="C30" s="4">
        <v>1</v>
      </c>
      <c r="D30" s="2">
        <v>1.2715000000000001E-2</v>
      </c>
      <c r="E30" s="2">
        <v>0.54676199999999997</v>
      </c>
      <c r="F30" s="2">
        <v>0.397893</v>
      </c>
      <c r="G30" s="2">
        <v>0.82524799999999998</v>
      </c>
      <c r="H30" s="2">
        <v>4.7104E-2</v>
      </c>
      <c r="I30" s="2">
        <v>5.6485E-2</v>
      </c>
      <c r="J30" s="2">
        <v>3.5705000000000001E-2</v>
      </c>
      <c r="K30" s="2">
        <v>0.15804199999999999</v>
      </c>
      <c r="L30" s="2">
        <v>0.10875799999999999</v>
      </c>
    </row>
    <row r="31" spans="1:13" hidden="1" x14ac:dyDescent="0.2">
      <c r="A31" s="2" t="s">
        <v>20</v>
      </c>
      <c r="B31" s="2" t="s">
        <v>16</v>
      </c>
      <c r="C31" s="4">
        <v>1</v>
      </c>
      <c r="D31" s="2">
        <v>1.4709E-2</v>
      </c>
      <c r="E31" s="2">
        <v>0.58357599999999998</v>
      </c>
      <c r="F31" s="2">
        <v>0.399478</v>
      </c>
      <c r="G31" s="2">
        <v>0.82344399999999995</v>
      </c>
      <c r="H31" s="2">
        <v>3.0120000000000001E-2</v>
      </c>
      <c r="I31" s="2">
        <v>9.2395000000000005E-2</v>
      </c>
      <c r="J31" s="2">
        <v>6.1575999999999999E-2</v>
      </c>
      <c r="K31" s="2">
        <v>0.15121200000000001</v>
      </c>
      <c r="L31" s="2">
        <v>0.110461</v>
      </c>
    </row>
    <row r="32" spans="1:13" hidden="1" x14ac:dyDescent="0.2">
      <c r="A32" s="2" t="s">
        <v>21</v>
      </c>
      <c r="B32" s="2" t="s">
        <v>15</v>
      </c>
      <c r="C32" s="4">
        <v>1</v>
      </c>
      <c r="D32" s="2">
        <v>1.1899E-2</v>
      </c>
      <c r="E32" s="2">
        <v>0.56410300000000002</v>
      </c>
      <c r="F32" s="2">
        <v>0.34482099999999999</v>
      </c>
      <c r="G32" s="2">
        <v>0.70528800000000003</v>
      </c>
      <c r="H32" s="2">
        <v>4.8500000000000001E-2</v>
      </c>
      <c r="I32" s="2">
        <v>3.3356999999999998E-2</v>
      </c>
      <c r="J32" s="2">
        <v>3.2981000000000003E-2</v>
      </c>
      <c r="K32" s="2">
        <v>0.14949499999999999</v>
      </c>
      <c r="L32" s="2">
        <v>9.6747E-2</v>
      </c>
    </row>
    <row r="33" spans="1:12" hidden="1" x14ac:dyDescent="0.2">
      <c r="A33" s="2" t="s">
        <v>21</v>
      </c>
      <c r="B33" s="2" t="s">
        <v>16</v>
      </c>
      <c r="C33" s="4">
        <v>1</v>
      </c>
      <c r="D33" s="2">
        <v>1.5923E-2</v>
      </c>
      <c r="E33" s="2">
        <v>0.52048700000000003</v>
      </c>
      <c r="F33" s="2">
        <v>0.339449</v>
      </c>
      <c r="G33" s="2">
        <v>0.69665999999999995</v>
      </c>
      <c r="H33" s="2">
        <v>3.6838999999999997E-2</v>
      </c>
      <c r="I33" s="2">
        <v>3.7754000000000003E-2</v>
      </c>
      <c r="J33" s="2">
        <v>7.3164000000000007E-2</v>
      </c>
      <c r="K33" s="2">
        <v>0.194601</v>
      </c>
      <c r="L33" s="2">
        <v>9.0963000000000002E-2</v>
      </c>
    </row>
    <row r="34" spans="1:12" ht="45" hidden="1" x14ac:dyDescent="0.2">
      <c r="A34" s="2" t="s">
        <v>22</v>
      </c>
      <c r="B34" s="2" t="s">
        <v>15</v>
      </c>
      <c r="C34" s="4">
        <v>0.64256570000000002</v>
      </c>
      <c r="D34" s="2">
        <v>2.4013E-2</v>
      </c>
      <c r="E34" s="2">
        <v>0.55175300000000005</v>
      </c>
      <c r="F34" s="2">
        <v>0.29115000000000002</v>
      </c>
      <c r="G34" s="2">
        <v>0.41982999999999998</v>
      </c>
      <c r="H34" s="2">
        <v>4.6789999999999998E-2</v>
      </c>
      <c r="I34" s="2">
        <v>3.9335000000000002E-2</v>
      </c>
      <c r="J34" s="2">
        <v>3.7413000000000002E-2</v>
      </c>
      <c r="K34" s="2">
        <v>0.15674299999999999</v>
      </c>
      <c r="L34" s="2">
        <v>8.7809999999999999E-2</v>
      </c>
    </row>
    <row r="35" spans="1:12" ht="45" hidden="1" x14ac:dyDescent="0.2">
      <c r="A35" s="2" t="s">
        <v>22</v>
      </c>
      <c r="B35" s="2" t="s">
        <v>16</v>
      </c>
      <c r="C35" s="4">
        <v>1</v>
      </c>
      <c r="D35" s="2">
        <v>1.1069000000000001E-2</v>
      </c>
      <c r="E35" s="2">
        <v>0.54146300000000003</v>
      </c>
      <c r="F35" s="2">
        <v>0.292464</v>
      </c>
      <c r="G35" s="2">
        <v>0.41506199999999999</v>
      </c>
      <c r="H35" s="2">
        <v>3.8723E-2</v>
      </c>
      <c r="I35" s="2">
        <v>3.1350999999999997E-2</v>
      </c>
      <c r="J35" s="2">
        <v>4.4984999999999997E-2</v>
      </c>
      <c r="K35" s="2">
        <v>0.176589</v>
      </c>
      <c r="L35" s="2">
        <v>7.7346999999999999E-2</v>
      </c>
    </row>
    <row r="36" spans="1:12" ht="45" hidden="1" x14ac:dyDescent="0.2">
      <c r="A36" s="2" t="s">
        <v>23</v>
      </c>
      <c r="B36" s="2" t="s">
        <v>15</v>
      </c>
      <c r="C36" s="4">
        <v>1</v>
      </c>
      <c r="D36" s="2">
        <v>8.5070000000000007E-3</v>
      </c>
      <c r="E36" s="2">
        <v>0.45883400000000002</v>
      </c>
      <c r="F36" s="2">
        <v>0.268679</v>
      </c>
      <c r="G36" s="2">
        <v>0.47187600000000002</v>
      </c>
      <c r="H36" s="2">
        <v>7.5302999999999995E-2</v>
      </c>
      <c r="I36" s="2">
        <v>4.3239E-2</v>
      </c>
      <c r="J36" s="2">
        <v>3.5383999999999999E-2</v>
      </c>
      <c r="K36" s="2">
        <v>0.18008099999999999</v>
      </c>
      <c r="L36" s="2">
        <v>0.10788300000000001</v>
      </c>
    </row>
    <row r="37" spans="1:12" ht="45" hidden="1" x14ac:dyDescent="0.2">
      <c r="A37" s="2" t="s">
        <v>23</v>
      </c>
      <c r="B37" s="2" t="s">
        <v>16</v>
      </c>
      <c r="C37" s="4">
        <v>1</v>
      </c>
      <c r="D37" s="2">
        <v>7.0349999999999996E-3</v>
      </c>
      <c r="E37" s="2">
        <v>0.547601</v>
      </c>
      <c r="F37" s="2">
        <v>0.27448499999999998</v>
      </c>
      <c r="G37" s="2">
        <v>0.49207499999999998</v>
      </c>
      <c r="H37" s="2">
        <v>7.3780999999999999E-2</v>
      </c>
      <c r="I37" s="2">
        <v>3.1865999999999998E-2</v>
      </c>
      <c r="J37" s="2">
        <v>2.1472000000000002E-2</v>
      </c>
      <c r="K37" s="2">
        <v>0.17060700000000001</v>
      </c>
      <c r="L37" s="2">
        <v>0.107428</v>
      </c>
    </row>
    <row r="38" spans="1:12" hidden="1" x14ac:dyDescent="0.2">
      <c r="A38" s="2" t="s">
        <v>24</v>
      </c>
      <c r="B38" s="2" t="s">
        <v>15</v>
      </c>
      <c r="C38" s="4">
        <v>1</v>
      </c>
      <c r="D38" s="2">
        <v>6.1679999999999999E-3</v>
      </c>
      <c r="E38" s="2">
        <v>0.53816299999999995</v>
      </c>
      <c r="F38" s="2">
        <v>0.171518</v>
      </c>
      <c r="G38" s="2">
        <v>0.14696799999999999</v>
      </c>
      <c r="H38" s="2">
        <v>8.7156999999999998E-2</v>
      </c>
      <c r="I38" s="2">
        <v>2.0542999999999999E-2</v>
      </c>
      <c r="J38" s="2">
        <v>3.1642999999999998E-2</v>
      </c>
      <c r="K38" s="2">
        <v>0.158191</v>
      </c>
      <c r="L38" s="2">
        <v>0.10745399999999999</v>
      </c>
    </row>
    <row r="39" spans="1:12" hidden="1" x14ac:dyDescent="0.2">
      <c r="A39" s="2" t="s">
        <v>24</v>
      </c>
      <c r="B39" s="2" t="s">
        <v>16</v>
      </c>
      <c r="C39" s="4">
        <v>1</v>
      </c>
      <c r="D39" s="2">
        <v>5.5510000000000004E-3</v>
      </c>
      <c r="E39" s="2">
        <v>0.48234500000000002</v>
      </c>
      <c r="F39" s="2">
        <v>0.17255200000000001</v>
      </c>
      <c r="G39" s="2">
        <v>0.14926200000000001</v>
      </c>
      <c r="H39" s="2">
        <v>9.0861999999999998E-2</v>
      </c>
      <c r="I39" s="2">
        <v>4.7781999999999998E-2</v>
      </c>
      <c r="J39" s="2">
        <v>6.6631999999999997E-2</v>
      </c>
      <c r="K39" s="2">
        <v>0.15207200000000001</v>
      </c>
      <c r="L39" s="2">
        <v>9.2097999999999999E-2</v>
      </c>
    </row>
    <row r="40" spans="1:12" hidden="1" x14ac:dyDescent="0.2">
      <c r="A40" s="2" t="s">
        <v>25</v>
      </c>
      <c r="B40" s="2" t="s">
        <v>16</v>
      </c>
      <c r="C40" s="4">
        <v>0.99208810000000003</v>
      </c>
      <c r="D40" s="2">
        <v>3.1623999999999999E-2</v>
      </c>
      <c r="E40" s="2">
        <v>0.47272700000000001</v>
      </c>
      <c r="F40" s="2">
        <v>0.21812000000000001</v>
      </c>
      <c r="G40" s="2">
        <v>0.23790800000000001</v>
      </c>
      <c r="H40" s="2">
        <v>6.5314999999999998E-2</v>
      </c>
      <c r="I40" s="2">
        <v>3.3411999999999997E-2</v>
      </c>
      <c r="J40" s="2">
        <v>3.8914999999999998E-2</v>
      </c>
      <c r="K40" s="2">
        <v>0.125387</v>
      </c>
      <c r="L40" s="2">
        <v>6.0810000000000003E-2</v>
      </c>
    </row>
    <row r="41" spans="1:12" hidden="1" x14ac:dyDescent="0.2">
      <c r="A41" s="2" t="s">
        <v>25</v>
      </c>
      <c r="B41" s="2" t="s">
        <v>15</v>
      </c>
      <c r="C41" s="4">
        <v>1</v>
      </c>
      <c r="D41" s="2">
        <v>3.4241000000000001E-2</v>
      </c>
      <c r="E41" s="2">
        <v>0.49730099999999999</v>
      </c>
      <c r="F41" s="2">
        <v>0.22234799999999999</v>
      </c>
      <c r="G41" s="2">
        <v>0.24665699999999999</v>
      </c>
      <c r="H41" s="2">
        <v>7.7027999999999999E-2</v>
      </c>
      <c r="I41" s="2">
        <v>0.10928400000000001</v>
      </c>
      <c r="J41" s="2">
        <v>7.2196999999999997E-2</v>
      </c>
      <c r="K41" s="2">
        <v>0.15773100000000001</v>
      </c>
      <c r="L41" s="2">
        <v>6.6055000000000003E-2</v>
      </c>
    </row>
  </sheetData>
  <autoFilter ref="A1:M41" xr:uid="{F0E815B6-2A26-C648-A411-2CE01A3CDF0D}">
    <filterColumn colId="1">
      <filters>
        <filter val="LDA"/>
        <filter val="MATAVE"/>
      </filters>
    </filterColumn>
    <sortState xmlns:xlrd2="http://schemas.microsoft.com/office/spreadsheetml/2017/richdata2" ref="A2:M21">
      <sortCondition ref="B1:B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3A58-43D3-F944-A115-ED3B30A6E3BF}">
  <dimension ref="A1:M23"/>
  <sheetViews>
    <sheetView workbookViewId="0">
      <selection activeCell="A23" activeCellId="1" sqref="A12:XFD12 A23:XFD23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26</v>
      </c>
    </row>
    <row r="2" spans="1:13" ht="30" x14ac:dyDescent="0.2">
      <c r="A2" s="2" t="s">
        <v>18</v>
      </c>
      <c r="B2" s="2" t="s">
        <v>13</v>
      </c>
      <c r="C2" s="5">
        <v>0</v>
      </c>
      <c r="D2" s="2">
        <v>1.4930000000000001E-2</v>
      </c>
      <c r="E2" s="6">
        <v>0.76326300000000002</v>
      </c>
      <c r="F2" s="6">
        <v>0.35477300000000001</v>
      </c>
      <c r="G2" s="6">
        <v>0.70820700000000003</v>
      </c>
      <c r="H2" s="6">
        <v>0.15978800000000001</v>
      </c>
      <c r="I2" s="6">
        <v>3.4525E-2</v>
      </c>
      <c r="J2" s="6">
        <v>0.28576299999999999</v>
      </c>
      <c r="K2" s="6">
        <v>0.50119800000000003</v>
      </c>
      <c r="L2" s="2">
        <v>0.53237100000000004</v>
      </c>
      <c r="M2" s="10">
        <f>AVERAGE(C2:L2)</f>
        <v>0.3354818</v>
      </c>
    </row>
    <row r="3" spans="1:13" ht="45" x14ac:dyDescent="0.2">
      <c r="A3" s="2" t="s">
        <v>23</v>
      </c>
      <c r="B3" s="2" t="s">
        <v>13</v>
      </c>
      <c r="C3" s="5">
        <v>1.804066E-2</v>
      </c>
      <c r="D3" s="6">
        <v>6.7664000000000002E-2</v>
      </c>
      <c r="E3" s="6">
        <v>0.83586000000000005</v>
      </c>
      <c r="F3" s="6">
        <v>0.32412600000000003</v>
      </c>
      <c r="G3" s="6">
        <v>0.70017200000000002</v>
      </c>
      <c r="H3" s="2">
        <v>0.34668700000000002</v>
      </c>
      <c r="I3" s="6">
        <v>0.15204400000000001</v>
      </c>
      <c r="J3" s="2">
        <v>0.67057800000000001</v>
      </c>
      <c r="K3" s="6">
        <v>0.31777699999999998</v>
      </c>
      <c r="L3" s="6">
        <v>0.28947600000000001</v>
      </c>
      <c r="M3" s="10">
        <f>AVERAGE(C3:L3)</f>
        <v>0.37224246599999999</v>
      </c>
    </row>
    <row r="4" spans="1:13" x14ac:dyDescent="0.2">
      <c r="A4" s="2" t="s">
        <v>17</v>
      </c>
      <c r="B4" s="2" t="s">
        <v>13</v>
      </c>
      <c r="C4" s="5">
        <v>2.7762979999999998E-13</v>
      </c>
      <c r="D4" s="6">
        <v>0.13139999999999999</v>
      </c>
      <c r="E4" s="6">
        <v>0.90730900000000003</v>
      </c>
      <c r="F4" s="6">
        <v>0.31081399999999998</v>
      </c>
      <c r="G4" s="6">
        <v>0.61516999999999999</v>
      </c>
      <c r="H4" s="6">
        <v>0.38280500000000001</v>
      </c>
      <c r="I4" s="6">
        <v>0.30885200000000002</v>
      </c>
      <c r="J4" s="6">
        <v>0.70392500000000002</v>
      </c>
      <c r="K4" s="6">
        <v>0.36555500000000002</v>
      </c>
      <c r="L4" s="6">
        <v>0.14763499999999999</v>
      </c>
      <c r="M4" s="10">
        <f>AVERAGE(C4:L4)</f>
        <v>0.38734650000002774</v>
      </c>
    </row>
    <row r="5" spans="1:13" x14ac:dyDescent="0.2">
      <c r="A5" s="2" t="s">
        <v>21</v>
      </c>
      <c r="B5" s="2" t="s">
        <v>13</v>
      </c>
      <c r="C5" s="4">
        <v>0.33334200000000003</v>
      </c>
      <c r="D5" s="6">
        <v>4.0009999999999997E-2</v>
      </c>
      <c r="E5" s="2">
        <v>0.90982300000000005</v>
      </c>
      <c r="F5" s="2">
        <v>0.37083700000000003</v>
      </c>
      <c r="G5" s="6">
        <v>0.90359699999999998</v>
      </c>
      <c r="H5" s="6">
        <v>0.37010900000000002</v>
      </c>
      <c r="I5" s="2">
        <v>0.26771800000000001</v>
      </c>
      <c r="J5" s="6">
        <v>0.85602500000000004</v>
      </c>
      <c r="K5" s="2">
        <v>0.29791000000000001</v>
      </c>
      <c r="L5" s="2">
        <v>0.230938</v>
      </c>
      <c r="M5" s="11">
        <f>AVERAGE(C5:L5)</f>
        <v>0.45803090000000007</v>
      </c>
    </row>
    <row r="6" spans="1:13" ht="45" x14ac:dyDescent="0.2">
      <c r="A6" s="2" t="s">
        <v>22</v>
      </c>
      <c r="B6" s="2" t="s">
        <v>13</v>
      </c>
      <c r="C6" s="5">
        <v>1.7763570000000001E-15</v>
      </c>
      <c r="D6" s="6">
        <v>1.4840000000000001E-2</v>
      </c>
      <c r="E6" s="2">
        <v>0.97519299999999998</v>
      </c>
      <c r="F6" s="2">
        <v>0.31325900000000001</v>
      </c>
      <c r="G6" s="2">
        <v>0.675701</v>
      </c>
      <c r="H6" s="2">
        <v>0.68781300000000001</v>
      </c>
      <c r="I6" s="6">
        <v>0.22237199999999999</v>
      </c>
      <c r="J6" s="2">
        <v>0.77493999999999996</v>
      </c>
      <c r="K6" s="2">
        <v>0.68196299999999999</v>
      </c>
      <c r="L6" s="2">
        <v>0.24107899999999999</v>
      </c>
      <c r="M6" s="11">
        <f>AVERAGE(C6:L6)</f>
        <v>0.45871600000000018</v>
      </c>
    </row>
    <row r="7" spans="1:13" x14ac:dyDescent="0.2">
      <c r="A7" s="2" t="s">
        <v>25</v>
      </c>
      <c r="B7" s="2" t="s">
        <v>13</v>
      </c>
      <c r="C7" s="5">
        <v>0</v>
      </c>
      <c r="D7" s="6">
        <v>0.16009999999999999</v>
      </c>
      <c r="E7" s="2">
        <v>0.96665599999999996</v>
      </c>
      <c r="F7" s="6">
        <v>0.27354899999999999</v>
      </c>
      <c r="G7" s="6">
        <v>0.49926599999999999</v>
      </c>
      <c r="H7" s="6">
        <v>0.44598300000000002</v>
      </c>
      <c r="I7" s="6">
        <v>0.64965600000000001</v>
      </c>
      <c r="J7" s="2">
        <v>0.93002399999999996</v>
      </c>
      <c r="K7" s="2">
        <v>0.391046</v>
      </c>
      <c r="L7" s="2">
        <v>0.28150700000000001</v>
      </c>
      <c r="M7" s="10">
        <f>AVERAGE(C7:L7)</f>
        <v>0.45977870000000004</v>
      </c>
    </row>
    <row r="8" spans="1:13" x14ac:dyDescent="0.2">
      <c r="A8" s="2" t="s">
        <v>20</v>
      </c>
      <c r="B8" s="2" t="s">
        <v>13</v>
      </c>
      <c r="C8" s="4">
        <v>1</v>
      </c>
      <c r="D8" s="2">
        <v>9.4842999999999997E-2</v>
      </c>
      <c r="E8" s="2">
        <v>0.90763099999999997</v>
      </c>
      <c r="F8" s="2">
        <v>0.39816499999999999</v>
      </c>
      <c r="G8" s="2">
        <v>0.93217899999999998</v>
      </c>
      <c r="H8" s="6">
        <v>0.25603399999999998</v>
      </c>
      <c r="I8" s="2">
        <v>0.11373800000000001</v>
      </c>
      <c r="J8" s="6">
        <v>0.66830900000000004</v>
      </c>
      <c r="K8" s="6">
        <v>0.40834100000000001</v>
      </c>
      <c r="L8" s="6">
        <v>0.261322</v>
      </c>
      <c r="M8" s="10">
        <f>AVERAGE(C8:L8)</f>
        <v>0.50405620000000007</v>
      </c>
    </row>
    <row r="9" spans="1:13" x14ac:dyDescent="0.2">
      <c r="A9" s="2" t="s">
        <v>24</v>
      </c>
      <c r="B9" s="2" t="s">
        <v>13</v>
      </c>
      <c r="C9" s="5">
        <v>0</v>
      </c>
      <c r="D9" s="6">
        <v>6.5586000000000005E-2</v>
      </c>
      <c r="E9" s="2">
        <v>0.97558</v>
      </c>
      <c r="F9" s="6">
        <v>0.23841000000000001</v>
      </c>
      <c r="G9" s="6">
        <v>0.45306999999999997</v>
      </c>
      <c r="H9" s="6">
        <v>0.70383399999999996</v>
      </c>
      <c r="I9" s="2">
        <v>0.91449000000000003</v>
      </c>
      <c r="J9" s="6">
        <v>0.85060899999999995</v>
      </c>
      <c r="K9" s="6">
        <v>0.487842</v>
      </c>
      <c r="L9" s="2">
        <v>0.36571700000000001</v>
      </c>
      <c r="M9" s="10">
        <f>AVERAGE(C9:L9)</f>
        <v>0.50551380000000001</v>
      </c>
    </row>
    <row r="10" spans="1:13" x14ac:dyDescent="0.2">
      <c r="A10" s="2" t="s">
        <v>12</v>
      </c>
      <c r="B10" s="2" t="s">
        <v>13</v>
      </c>
      <c r="C10" s="5">
        <v>0.94363030000000003</v>
      </c>
      <c r="D10" s="6">
        <v>0.122554</v>
      </c>
      <c r="E10" s="6">
        <v>0.88119700000000001</v>
      </c>
      <c r="F10" s="6">
        <v>0.41298600000000002</v>
      </c>
      <c r="G10" s="6">
        <v>1.012399</v>
      </c>
      <c r="H10" s="6">
        <v>0.34991499999999998</v>
      </c>
      <c r="I10" s="2">
        <v>0.10356799999999999</v>
      </c>
      <c r="J10" s="6">
        <v>0.71342499999999998</v>
      </c>
      <c r="K10" s="6">
        <v>0.374836</v>
      </c>
      <c r="L10" s="6">
        <v>0.27090999999999998</v>
      </c>
      <c r="M10" s="10">
        <f>AVERAGE(C10:L10)</f>
        <v>0.5185420300000001</v>
      </c>
    </row>
    <row r="11" spans="1:13" ht="30" x14ac:dyDescent="0.2">
      <c r="A11" s="2" t="s">
        <v>19</v>
      </c>
      <c r="B11" s="2" t="s">
        <v>13</v>
      </c>
      <c r="C11" s="5">
        <v>0</v>
      </c>
      <c r="D11" s="6">
        <v>0.27512300000000001</v>
      </c>
      <c r="E11" s="6">
        <v>0.99187000000000003</v>
      </c>
      <c r="F11" s="6">
        <v>0.268766</v>
      </c>
      <c r="G11" s="6">
        <v>0.52887200000000001</v>
      </c>
      <c r="H11" s="2">
        <v>0.97162800000000005</v>
      </c>
      <c r="I11" s="6">
        <v>0.94540000000000002</v>
      </c>
      <c r="J11" s="2">
        <v>0.99471600000000004</v>
      </c>
      <c r="K11" s="2">
        <v>0.83170699999999997</v>
      </c>
      <c r="L11" s="2">
        <v>0.29117199999999999</v>
      </c>
      <c r="M11" s="10">
        <f>AVERAGE(C11:L11)</f>
        <v>0.60992540000000006</v>
      </c>
    </row>
    <row r="12" spans="1:13" x14ac:dyDescent="0.2">
      <c r="A12" s="2" t="s">
        <v>27</v>
      </c>
      <c r="B12" s="2" t="s">
        <v>13</v>
      </c>
      <c r="C12" s="9">
        <f>AVERAGE(C2:C11)</f>
        <v>0.22950129600002794</v>
      </c>
      <c r="D12" s="9">
        <f t="shared" ref="D12:M12" si="0">AVERAGE(D2:D11)</f>
        <v>9.8705000000000001E-2</v>
      </c>
      <c r="E12" s="9">
        <f t="shared" si="0"/>
        <v>0.91143820000000009</v>
      </c>
      <c r="F12" s="9">
        <f t="shared" si="0"/>
        <v>0.32656849999999998</v>
      </c>
      <c r="G12" s="9">
        <f t="shared" si="0"/>
        <v>0.70286329999999997</v>
      </c>
      <c r="H12" s="9">
        <f t="shared" si="0"/>
        <v>0.46745960000000003</v>
      </c>
      <c r="I12" s="9">
        <f t="shared" si="0"/>
        <v>0.37123630000000007</v>
      </c>
      <c r="J12" s="9">
        <f t="shared" si="0"/>
        <v>0.74483139999999992</v>
      </c>
      <c r="K12" s="9">
        <f t="shared" si="0"/>
        <v>0.46581750000000011</v>
      </c>
      <c r="L12" s="9">
        <f t="shared" si="0"/>
        <v>0.29121270000000005</v>
      </c>
      <c r="M12" s="9">
        <f t="shared" si="0"/>
        <v>0.46096337960000283</v>
      </c>
    </row>
    <row r="13" spans="1:13" ht="45" x14ac:dyDescent="0.2">
      <c r="A13" s="2" t="s">
        <v>22</v>
      </c>
      <c r="B13" s="2" t="s">
        <v>14</v>
      </c>
      <c r="C13" s="4">
        <v>0.58278989999999997</v>
      </c>
      <c r="D13" s="2">
        <v>0.12045699999999999</v>
      </c>
      <c r="E13" s="6">
        <v>0.80817000000000005</v>
      </c>
      <c r="F13" s="6">
        <v>0.30806499999999998</v>
      </c>
      <c r="G13" s="6">
        <v>0.54489699999999996</v>
      </c>
      <c r="H13" s="6">
        <v>0.19792699999999999</v>
      </c>
      <c r="I13" s="2">
        <v>0.22417699999999999</v>
      </c>
      <c r="J13" s="6">
        <v>0.31433100000000003</v>
      </c>
      <c r="K13" s="6">
        <v>0.47570600000000002</v>
      </c>
      <c r="L13" s="6">
        <v>0.100687</v>
      </c>
      <c r="M13" s="10">
        <f>AVERAGE(C13:L13)</f>
        <v>0.36772069000000007</v>
      </c>
    </row>
    <row r="14" spans="1:13" x14ac:dyDescent="0.2">
      <c r="A14" s="2" t="s">
        <v>21</v>
      </c>
      <c r="B14" s="2" t="s">
        <v>14</v>
      </c>
      <c r="C14" s="5">
        <v>7.81829E-2</v>
      </c>
      <c r="D14" s="2">
        <v>9.2055999999999999E-2</v>
      </c>
      <c r="E14" s="6">
        <v>0.86860800000000005</v>
      </c>
      <c r="F14" s="6">
        <v>0.36579899999999999</v>
      </c>
      <c r="G14" s="2">
        <v>0.91898800000000003</v>
      </c>
      <c r="H14" s="2">
        <v>0.48596299999999998</v>
      </c>
      <c r="I14" s="6">
        <v>0.192195</v>
      </c>
      <c r="J14" s="2">
        <v>0.88565400000000005</v>
      </c>
      <c r="K14" s="6">
        <v>0.28782999999999997</v>
      </c>
      <c r="L14" s="6">
        <v>0.20010800000000001</v>
      </c>
      <c r="M14" s="10">
        <f>AVERAGE(C14:L14)</f>
        <v>0.43753839</v>
      </c>
    </row>
    <row r="15" spans="1:13" ht="45" x14ac:dyDescent="0.2">
      <c r="A15" s="2" t="s">
        <v>23</v>
      </c>
      <c r="B15" s="2" t="s">
        <v>14</v>
      </c>
      <c r="C15" s="4">
        <v>8.7686620000000007E-2</v>
      </c>
      <c r="D15" s="2">
        <v>0.17416499999999999</v>
      </c>
      <c r="E15" s="2">
        <v>0.909196</v>
      </c>
      <c r="F15" s="2">
        <v>0.34310299999999999</v>
      </c>
      <c r="G15" s="2">
        <v>0.75478999999999996</v>
      </c>
      <c r="H15" s="6">
        <v>0.32295299999999999</v>
      </c>
      <c r="I15" s="2">
        <v>0.49111399999999999</v>
      </c>
      <c r="J15" s="6">
        <v>0.66050799999999998</v>
      </c>
      <c r="K15" s="2">
        <v>0.37312400000000001</v>
      </c>
      <c r="L15" s="2">
        <v>0.37912000000000001</v>
      </c>
      <c r="M15" s="11">
        <f>AVERAGE(C15:L15)</f>
        <v>0.44957596200000005</v>
      </c>
    </row>
    <row r="16" spans="1:13" x14ac:dyDescent="0.2">
      <c r="A16" s="2" t="s">
        <v>25</v>
      </c>
      <c r="B16" s="2" t="s">
        <v>14</v>
      </c>
      <c r="C16" s="5">
        <v>0</v>
      </c>
      <c r="D16" s="2">
        <v>0.21437800000000001</v>
      </c>
      <c r="E16" s="6">
        <v>0.88006399999999996</v>
      </c>
      <c r="F16" s="2">
        <v>0.29124299999999997</v>
      </c>
      <c r="G16" s="2">
        <v>0.55612099999999998</v>
      </c>
      <c r="H16" s="2">
        <v>0.45117000000000002</v>
      </c>
      <c r="I16" s="2">
        <v>0.812388</v>
      </c>
      <c r="J16" s="6">
        <v>0.82022600000000001</v>
      </c>
      <c r="K16" s="6">
        <v>0.36740600000000001</v>
      </c>
      <c r="L16" s="6">
        <v>0.206154</v>
      </c>
      <c r="M16" s="10">
        <f>AVERAGE(C16:L16)</f>
        <v>0.45991499999999991</v>
      </c>
    </row>
    <row r="17" spans="1:13" x14ac:dyDescent="0.2">
      <c r="A17" s="2" t="s">
        <v>17</v>
      </c>
      <c r="B17" s="2" t="s">
        <v>14</v>
      </c>
      <c r="C17" s="4">
        <v>6.0556339999999998E-3</v>
      </c>
      <c r="D17" s="2">
        <v>0.176033</v>
      </c>
      <c r="E17" s="2">
        <v>0.97520300000000004</v>
      </c>
      <c r="F17" s="2">
        <v>0.33708199999999999</v>
      </c>
      <c r="G17" s="2">
        <v>0.71631299999999998</v>
      </c>
      <c r="H17" s="2">
        <v>0.46905400000000003</v>
      </c>
      <c r="I17" s="2">
        <v>0.63787000000000005</v>
      </c>
      <c r="J17" s="2">
        <v>0.882104</v>
      </c>
      <c r="K17" s="2">
        <v>0.44569700000000001</v>
      </c>
      <c r="L17" s="2">
        <v>0.220855</v>
      </c>
      <c r="M17" s="11">
        <f>AVERAGE(C17:L17)</f>
        <v>0.48662666339999994</v>
      </c>
    </row>
    <row r="18" spans="1:13" ht="30" x14ac:dyDescent="0.2">
      <c r="A18" s="2" t="s">
        <v>18</v>
      </c>
      <c r="B18" s="2" t="s">
        <v>14</v>
      </c>
      <c r="C18" s="5">
        <v>0</v>
      </c>
      <c r="D18" s="6">
        <v>4.1009999999999996E-3</v>
      </c>
      <c r="E18" s="2">
        <v>0.93157900000000005</v>
      </c>
      <c r="F18" s="2">
        <v>0.36091299999999998</v>
      </c>
      <c r="G18" s="2">
        <v>0.97290500000000002</v>
      </c>
      <c r="H18" s="2">
        <v>0.50116099999999997</v>
      </c>
      <c r="I18" s="2">
        <v>0.19786200000000001</v>
      </c>
      <c r="J18" s="2">
        <v>0.95545000000000002</v>
      </c>
      <c r="K18" s="2">
        <v>0.53305199999999997</v>
      </c>
      <c r="L18" s="6">
        <v>0.49435899999999999</v>
      </c>
      <c r="M18" s="11">
        <f>AVERAGE(C18:L18)</f>
        <v>0.49513820000000008</v>
      </c>
    </row>
    <row r="19" spans="1:13" x14ac:dyDescent="0.2">
      <c r="A19" s="2" t="s">
        <v>24</v>
      </c>
      <c r="B19" s="2" t="s">
        <v>14</v>
      </c>
      <c r="C19" s="5">
        <v>0</v>
      </c>
      <c r="D19" s="2">
        <v>0.15325</v>
      </c>
      <c r="E19" s="6">
        <v>0.96536200000000005</v>
      </c>
      <c r="F19" s="2">
        <v>0.24177699999999999</v>
      </c>
      <c r="G19" s="2">
        <v>0.51667399999999997</v>
      </c>
      <c r="H19" s="2">
        <v>0.70839099999999999</v>
      </c>
      <c r="I19" s="6">
        <v>0.89940699999999996</v>
      </c>
      <c r="J19" s="2">
        <v>0.87912199999999996</v>
      </c>
      <c r="K19" s="2">
        <v>0.50689099999999998</v>
      </c>
      <c r="L19" s="6">
        <v>0.35569099999999998</v>
      </c>
      <c r="M19" s="11">
        <f>AVERAGE(C19:L19)</f>
        <v>0.52265650000000008</v>
      </c>
    </row>
    <row r="20" spans="1:13" x14ac:dyDescent="0.2">
      <c r="A20" s="2" t="s">
        <v>20</v>
      </c>
      <c r="B20" s="2" t="s">
        <v>14</v>
      </c>
      <c r="C20" s="5">
        <v>0.99994130000000003</v>
      </c>
      <c r="D20" s="6">
        <v>7.2750999999999996E-2</v>
      </c>
      <c r="E20" s="6">
        <v>0.89607700000000001</v>
      </c>
      <c r="F20" s="6">
        <v>0.39197300000000002</v>
      </c>
      <c r="G20" s="6">
        <v>0.91462900000000003</v>
      </c>
      <c r="H20" s="2">
        <v>0.68587100000000001</v>
      </c>
      <c r="I20" s="6">
        <v>6.9517999999999996E-2</v>
      </c>
      <c r="J20" s="2">
        <v>0.71515399999999996</v>
      </c>
      <c r="K20" s="2">
        <v>0.59636699999999998</v>
      </c>
      <c r="L20" s="2">
        <v>0.33314300000000002</v>
      </c>
      <c r="M20" s="11">
        <f>AVERAGE(C20:L20)</f>
        <v>0.56754243000000004</v>
      </c>
    </row>
    <row r="21" spans="1:13" x14ac:dyDescent="0.2">
      <c r="A21" s="2" t="s">
        <v>12</v>
      </c>
      <c r="B21" s="2" t="s">
        <v>14</v>
      </c>
      <c r="C21" s="4">
        <v>0.99165910000000002</v>
      </c>
      <c r="D21" s="2">
        <v>0.222275</v>
      </c>
      <c r="E21" s="2">
        <v>0.95630599999999999</v>
      </c>
      <c r="F21" s="2">
        <v>0.416155</v>
      </c>
      <c r="G21" s="2">
        <v>1.0284720000000001</v>
      </c>
      <c r="H21" s="2">
        <v>0.37604199999999999</v>
      </c>
      <c r="I21" s="6">
        <v>9.6034999999999995E-2</v>
      </c>
      <c r="J21" s="2">
        <v>0.772034</v>
      </c>
      <c r="K21" s="2">
        <v>0.56222899999999998</v>
      </c>
      <c r="L21" s="2">
        <v>0.29523500000000003</v>
      </c>
      <c r="M21" s="11">
        <f>AVERAGE(C21:L21)</f>
        <v>0.57164420999999987</v>
      </c>
    </row>
    <row r="22" spans="1:13" ht="30" x14ac:dyDescent="0.2">
      <c r="A22" s="2" t="s">
        <v>19</v>
      </c>
      <c r="B22" s="2" t="s">
        <v>14</v>
      </c>
      <c r="C22" s="5">
        <v>0</v>
      </c>
      <c r="D22" s="2">
        <v>0.40828900000000001</v>
      </c>
      <c r="E22" s="2">
        <v>1</v>
      </c>
      <c r="F22" s="2">
        <v>0.29869400000000002</v>
      </c>
      <c r="G22" s="2">
        <v>0.67866800000000005</v>
      </c>
      <c r="H22" s="6">
        <v>0.91879100000000002</v>
      </c>
      <c r="I22" s="2">
        <v>0.98517699999999997</v>
      </c>
      <c r="J22" s="6">
        <v>0.99186399999999997</v>
      </c>
      <c r="K22" s="6">
        <v>0.74260800000000005</v>
      </c>
      <c r="L22" s="6">
        <v>0.24834899999999999</v>
      </c>
      <c r="M22" s="11">
        <f>AVERAGE(C22:L22)</f>
        <v>0.62724399999999991</v>
      </c>
    </row>
    <row r="23" spans="1:13" x14ac:dyDescent="0.2">
      <c r="A23" s="2" t="s">
        <v>27</v>
      </c>
      <c r="B23" s="2" t="s">
        <v>14</v>
      </c>
      <c r="C23" s="12">
        <f>AVERAGE(C13:C22)</f>
        <v>0.27463154540000001</v>
      </c>
      <c r="D23" s="12">
        <f>AVERAGE(D13:D22)</f>
        <v>0.16377549999999999</v>
      </c>
      <c r="E23" s="12">
        <f>AVERAGE(E13:E22)</f>
        <v>0.91905649999999994</v>
      </c>
      <c r="F23" s="12">
        <f>AVERAGE(F13:F22)</f>
        <v>0.33548039999999996</v>
      </c>
      <c r="G23" s="12">
        <f>AVERAGE(G13:G22)</f>
        <v>0.76024569999999991</v>
      </c>
      <c r="H23" s="12">
        <f>AVERAGE(H13:H22)</f>
        <v>0.51173230000000003</v>
      </c>
      <c r="I23" s="12">
        <f>AVERAGE(I13:I22)</f>
        <v>0.46057430000000005</v>
      </c>
      <c r="J23" s="12">
        <f>AVERAGE(J13:J22)</f>
        <v>0.78764469999999986</v>
      </c>
      <c r="K23" s="12">
        <f>AVERAGE(K13:K22)</f>
        <v>0.489091</v>
      </c>
      <c r="L23" s="12">
        <f>AVERAGE(L13:L22)</f>
        <v>0.28337010000000001</v>
      </c>
      <c r="M23" s="12">
        <f>AVERAGE(M13:M22)</f>
        <v>0.49856020454000005</v>
      </c>
    </row>
  </sheetData>
  <autoFilter ref="A1:M23" xr:uid="{BEEE3A58-43D3-F944-A115-ED3B30A6E3BF}">
    <sortState xmlns:xlrd2="http://schemas.microsoft.com/office/spreadsheetml/2017/richdata2" ref="A12:M23">
      <sortCondition descending="1" ref="C1:C2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54F1-C886-2541-B64B-8150F42C44A3}">
  <dimension ref="A1:M3"/>
  <sheetViews>
    <sheetView tabSelected="1" workbookViewId="0">
      <selection activeCell="H11" sqref="H1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7" t="s">
        <v>26</v>
      </c>
    </row>
    <row r="2" spans="1:13" x14ac:dyDescent="0.2">
      <c r="A2" s="2" t="s">
        <v>27</v>
      </c>
      <c r="B2" s="2" t="s">
        <v>13</v>
      </c>
      <c r="C2" s="5">
        <v>0.22950129600002794</v>
      </c>
      <c r="D2" s="5">
        <v>9.8705000000000001E-2</v>
      </c>
      <c r="E2" s="5">
        <v>0.91143820000000009</v>
      </c>
      <c r="F2" s="5">
        <v>0.32656849999999998</v>
      </c>
      <c r="G2" s="5">
        <v>0.70286329999999997</v>
      </c>
      <c r="H2" s="5">
        <v>0.46745960000000003</v>
      </c>
      <c r="I2" s="5">
        <v>0.37123630000000007</v>
      </c>
      <c r="J2" s="5">
        <v>0.74483139999999992</v>
      </c>
      <c r="K2" s="5">
        <v>0.46581750000000011</v>
      </c>
      <c r="L2" s="9">
        <v>0.29121270000000005</v>
      </c>
      <c r="M2" s="5">
        <v>0.46096337960000283</v>
      </c>
    </row>
    <row r="3" spans="1:13" x14ac:dyDescent="0.2">
      <c r="A3" s="2" t="s">
        <v>27</v>
      </c>
      <c r="B3" s="2" t="s">
        <v>14</v>
      </c>
      <c r="C3" s="12">
        <v>0.27463154540000001</v>
      </c>
      <c r="D3" s="12">
        <v>0.16377549999999999</v>
      </c>
      <c r="E3" s="12">
        <v>0.91905649999999994</v>
      </c>
      <c r="F3" s="12">
        <v>0.33548039999999996</v>
      </c>
      <c r="G3" s="12">
        <v>0.76024569999999991</v>
      </c>
      <c r="H3" s="12">
        <v>0.51173230000000003</v>
      </c>
      <c r="I3" s="12">
        <v>0.46057430000000005</v>
      </c>
      <c r="J3" s="12">
        <v>0.78764469999999986</v>
      </c>
      <c r="K3" s="12">
        <v>0.489091</v>
      </c>
      <c r="L3" s="13">
        <v>0.28337010000000001</v>
      </c>
      <c r="M3" s="12">
        <v>0.49856020454000005</v>
      </c>
    </row>
  </sheetData>
  <autoFilter ref="A1:M3" xr:uid="{2AF954F1-C886-2541-B64B-8150F42C44A3}">
    <sortState xmlns:xlrd2="http://schemas.microsoft.com/office/spreadsheetml/2017/richdata2" ref="A2:M3">
      <sortCondition ref="M1:M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Maria Ronan (Umail)</dc:creator>
  <cp:lastModifiedBy>Isabel Maria Ronan (Umail)</cp:lastModifiedBy>
  <dcterms:created xsi:type="dcterms:W3CDTF">2026-06-15T06:35:52Z</dcterms:created>
  <dcterms:modified xsi:type="dcterms:W3CDTF">2026-06-15T07:10:34Z</dcterms:modified>
</cp:coreProperties>
</file>